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dell\Downloads\MapUp-DA-Assessment-2024\MapUp-DA-Assessment-2024\submissions\"/>
    </mc:Choice>
  </mc:AlternateContent>
  <bookViews>
    <workbookView xWindow="0" yWindow="0" windowWidth="20490" windowHeight="775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19"/>
  <c r="B6" i="18" l="1"/>
  <c r="B28" i="18" s="1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E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5"/>
  <c r="H41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<sst xmlns="http://schemas.openxmlformats.org/spreadsheetml/2006/main" count="407" uniqueCount="184">
  <si>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</si>
  <si>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</si>
  <si>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</si>
  <si>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</si>
  <si>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</si>
  <si>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</si>
  <si>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</si>
  <si>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</si>
  <si>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</si>
  <si>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</si>
  <si>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</si>
  <si>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</si>
  <si>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</si>
  <si>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</si>
  <si>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</si>
  <si>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</si>
  <si>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</si>
  <si>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</si>
  <si>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</si>
  <si>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</si>
  <si>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</si>
  <si>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</si>
  <si>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</si>
  <si>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</si>
  <si>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</si>
  <si>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</si>
  <si>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</si>
  <si>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</si>
  <si>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</si>
  <si>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</si>
  <si>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</si>
  <si>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</si>
  <si>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</si>
  <si>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</si>
  <si>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</si>
  <si>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</si>
  <si>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</si>
  <si>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</si>
  <si>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</si>
  <si>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</si>
  <si>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</si>
  <si>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</si>
  <si>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</si>
  <si>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</si>
  <si>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</si>
  <si>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</si>
  <si>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</si>
  <si>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</si>
  <si>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</si>
  <si>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</si>
  <si>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</si>
  <si>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</si>
  <si>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</si>
  <si>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</si>
  <si>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</si>
  <si>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</si>
  <si>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</si>
  <si>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</si>
  <si>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</si>
  <si>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</si>
  <si>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</si>
  <si>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</si>
  <si>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</si>
  <si>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</si>
  <si>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</si>
  <si>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</si>
  <si>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</si>
  <si>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</si>
  <si>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</si>
  <si>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</si>
  <si>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</si>
  <si>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</si>
  <si>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</si>
  <si>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</si>
  <si>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</si>
  <si>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</si>
  <si>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</si>
  <si>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</si>
  <si>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</si>
  <si>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</si>
  <si>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</si>
  <si>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</si>
  <si>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</si>
  <si>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</si>
  <si>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</si>
  <si>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</si>
  <si>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</si>
  <si>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</si>
  <si>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</si>
  <si>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</si>
  <si>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</si>
  <si>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</si>
  <si>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</si>
  <si>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</si>
  <si>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</si>
  <si>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</si>
  <si>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</si>
  <si>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</si>
  <si>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</si>
  <si>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</si>
  <si>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</si>
  <si>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</si>
  <si>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</si>
  <si>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</si>
  <si>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</si>
  <si>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</si>
  <si>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</si>
  <si>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</si>
  <si>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</si>
  <si>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</si>
  <si>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</si>
  <si>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</si>
  <si>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</si>
  <si>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</si>
  <si>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</si>
  <si>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</si>
  <si>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</si>
  <si>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</si>
  <si>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</si>
  <si>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</si>
  <si>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</si>
  <si>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</si>
  <si>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</si>
  <si>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</si>
  <si>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</si>
  <si>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</si>
  <si>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</si>
  <si>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</si>
  <si>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</si>
  <si>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</si>
  <si>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</si>
  <si>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</si>
  <si>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</si>
  <si>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</si>
  <si>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</si>
  <si>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</si>
  <si>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</si>
  <si>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</si>
  <si>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</si>
  <si>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</si>
  <si>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</si>
  <si>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</si>
  <si>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</si>
  <si>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</si>
  <si>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</si>
  <si>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</si>
  <si>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</si>
  <si>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</si>
  <si>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</si>
  <si>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</si>
  <si>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</si>
  <si>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</si>
  <si>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</si>
  <si>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</si>
  <si>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</si>
  <si>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</si>
  <si>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</si>
  <si>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</si>
  <si>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</si>
  <si>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</si>
  <si>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</si>
  <si>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</si>
  <si>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</si>
  <si>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</si>
  <si>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</si>
  <si>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</si>
  <si>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</si>
  <si>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</si>
  <si>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</si>
  <si>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</si>
  <si>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</si>
  <si>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</si>
  <si>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</si>
  <si>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</si>
  <si>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</si>
  <si>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</si>
  <si>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</t>
  </si>
  <si>
    <t xml:space="preserve">Data-&gt;Text-to-Columns </t>
  </si>
  <si>
    <t>The "Text-to-Columns" feature splits the text based on a delimiter (here, the hyphen -) and distributes it into adjacent cells, which allowed me you to separate the components of the string into distinct columns.</t>
  </si>
  <si>
    <t>Column2</t>
  </si>
  <si>
    <t>To replace the #N/A values directly in the existing column, I used Excel's Find and Replace feature to replace all #N/A errors with a specific value, like 20, without creating a new column.</t>
  </si>
  <si>
    <t>Find and Replace Feature using Ctrl+H(Windows)</t>
  </si>
  <si>
    <t xml:space="preserve">INDEX(Table_A, MATCH(name_1, Table_B[ID], 0), MATCH(name_2, Table_B[ID], 0))
</t>
  </si>
  <si>
    <t>To fill the values in column "value" of Table_C using the data from Table_A and Table_B, i used the INDEX and MATCH functions to retrieve the appropriate values from Table_A based on the row and column references that correspond to name_1 and name_2 in Table_C.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</si>
</sst>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20212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3" fillId="0" borderId="7" xfId="0" applyFont="1" applyBorder="1" applyAlignment="1">
      <alignment wrapText="1"/>
    </xf>
    <xf numFmtId="49" fontId="3" fillId="0" borderId="1" xfId="0" applyNumberFormat="1" applyFont="1" applyBorder="1"/>
    <xf numFmtId="0" fontId="18" fillId="0" borderId="0" xfId="0" applyFont="1"/>
    <xf numFmtId="0" fontId="2" fillId="0" borderId="0" xfId="0" applyFont="1"/>
    <xf numFmtId="0" fontId="8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3" fillId="0" borderId="1" xfId="0" applyNumberFormat="1" applyFont="1" applyBorder="1" applyAlignment="1">
      <alignment horizontal="left" vertical="top"/>
    </xf>
    <xf numFmtId="1" fontId="8" fillId="0" borderId="3" xfId="0" applyNumberFormat="1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2">
    <dxf>
      <fill>
        <patternFill>
          <bgColor rgb="FF00CC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1"/>
      <tableStyleElement type="headerRow" dxfId="10"/>
    </tableStyle>
    <tableStyle name="Table Style 1" pivot="0" count="0"/>
  </tableStyles>
  <colors>
    <mruColors>
      <color rgb="FF00CC00"/>
      <color rgb="FF02AE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1:C22">
  <autoFilter ref="A11:C22">
    <filterColumn colId="0" hiddenButton="1"/>
    <filterColumn colId="1" hiddenButton="1"/>
    <filterColumn colId="2" hiddenButton="1"/>
  </autoFilter>
  <tableColumns count="3">
    <tableColumn id="1" name="Column2" totalsRowLabel="Total" dataDxfId="9" totalsRowDxfId="4"/>
    <tableColumn id="2" name="Product" dataDxfId="8" totalsRowDxfId="5"/>
    <tableColumn id="3" name="Sales" totalsRowFunction="sum" dataDxfId="7" totalsRowDxfId="6"/>
  </tableColumns>
  <tableStyleInfo name="Table Style 1" showFirstColumn="1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107</v>
      </c>
    </row>
    <row r="2" spans="1:3" x14ac:dyDescent="0.2">
      <c r="A2" s="2" t="s">
        <v>108</v>
      </c>
    </row>
    <row r="3" spans="1:3" x14ac:dyDescent="0.2">
      <c r="A3" s="2" t="s">
        <v>109</v>
      </c>
    </row>
    <row r="4" spans="1:3" ht="15" x14ac:dyDescent="0.25">
      <c r="A4" s="2" t="s">
        <v>175</v>
      </c>
      <c r="C4" s="1"/>
    </row>
    <row r="5" spans="1:3" x14ac:dyDescent="0.2">
      <c r="A5" s="2" t="s">
        <v>150</v>
      </c>
    </row>
    <row r="8" spans="1:3" x14ac:dyDescent="0.2">
      <c r="A8" s="2" t="s">
        <v>171</v>
      </c>
    </row>
    <row r="9" spans="1:3" x14ac:dyDescent="0.2">
      <c r="A9" s="35" t="s">
        <v>169</v>
      </c>
      <c r="B9" s="25" t="s">
        <v>167</v>
      </c>
    </row>
    <row r="10" spans="1:3" x14ac:dyDescent="0.2">
      <c r="A10" s="34" t="s">
        <v>170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97</v>
      </c>
      <c r="B14" s="36">
        <v>40</v>
      </c>
    </row>
    <row r="15" spans="1:3" x14ac:dyDescent="0.2">
      <c r="A15" s="37" t="s">
        <v>168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Normal="100" workbookViewId="0">
      <pane ySplit="1" topLeftCell="A2" activePane="bottomLeft" state="frozen"/>
      <selection pane="bottomLeft" activeCell="F19" sqref="F19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104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C9" sqref="C9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30" style="1" bestFit="1" customWidth="1"/>
    <col min="4" max="4" width="11" style="1"/>
    <col min="5" max="5" width="16.16406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174</v>
      </c>
    </row>
    <row r="2" spans="1:5" x14ac:dyDescent="0.25">
      <c r="A2" s="2"/>
      <c r="B2" s="5" t="s">
        <v>158</v>
      </c>
      <c r="C2" s="2"/>
    </row>
    <row r="3" spans="1:5" x14ac:dyDescent="0.2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103</v>
      </c>
      <c r="C5" s="33" t="s">
        <v>176</v>
      </c>
      <c r="E5" s="1">
        <v>10</v>
      </c>
    </row>
    <row r="6" spans="1:5" x14ac:dyDescent="0.25">
      <c r="A6" s="6">
        <v>4</v>
      </c>
      <c r="B6" s="2" t="s">
        <v>105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Task_1!C5=SUMIF(H2:H40,"&gt;20")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0" zoomScaleNormal="100" workbookViewId="0">
      <selection activeCell="E16" sqref="E16"/>
    </sheetView>
  </sheetViews>
  <sheetFormatPr defaultColWidth="11" defaultRowHeight="12.75" x14ac:dyDescent="0.2"/>
  <cols>
    <col min="1" max="1" width="20.832031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162</v>
      </c>
    </row>
    <row r="2" spans="1:7" s="40" customFormat="1" ht="21" x14ac:dyDescent="0.35">
      <c r="B2" s="40" t="s">
        <v>159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160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46">
        <f>VLOOKUP(A6, Dataset!A:G, 7, FALSE)</f>
        <v>2.7</v>
      </c>
      <c r="C6" s="12">
        <f>VLOOKUP(A6, Dataset!A:N, 14, FALSE)</f>
        <v>7.6</v>
      </c>
      <c r="D6" s="12">
        <f>VLOOKUP(A6, Dataset!A:R, 18, FALSE)</f>
        <v>4.2</v>
      </c>
      <c r="E6" s="48">
        <f>VLOOKUP(A6, Dataset!A:T, 20, FALSE)</f>
        <v>8.9</v>
      </c>
      <c r="F6" s="8">
        <f>VLOOKUP(A6, Dataset!A:V, 22, FALSE)</f>
        <v>4.2</v>
      </c>
    </row>
    <row r="7" spans="1:7" ht="15" x14ac:dyDescent="0.25">
      <c r="A7" s="7" t="s">
        <v>4</v>
      </c>
      <c r="B7" s="46">
        <f>VLOOKUP(A7, Dataset!A:G, 7, FALSE)</f>
        <v>2.7</v>
      </c>
      <c r="C7" s="12">
        <f>VLOOKUP(A7, Dataset!A:N, 14, FALSE)</f>
        <v>7.6</v>
      </c>
      <c r="D7" s="12">
        <f>VLOOKUP(A7, Dataset!A:R, 18, FALSE)</f>
        <v>4.2</v>
      </c>
      <c r="E7" s="48">
        <f>VLOOKUP(A7, Dataset!A:T, 20, FALSE)</f>
        <v>8.9</v>
      </c>
      <c r="F7" s="8">
        <f>VLOOKUP(A7, Dataset!A:V, 22, FALSE)</f>
        <v>4.2</v>
      </c>
    </row>
    <row r="8" spans="1:7" ht="15" x14ac:dyDescent="0.25">
      <c r="A8" s="7" t="s">
        <v>7</v>
      </c>
      <c r="B8" s="46">
        <f>VLOOKUP(A8, Dataset!A:G, 7, FALSE)</f>
        <v>3.6</v>
      </c>
      <c r="C8" s="12">
        <f>VLOOKUP(A8, Dataset!A:N, 14, FALSE)</f>
        <v>11.1</v>
      </c>
      <c r="D8" s="12">
        <f>VLOOKUP(A8, Dataset!A:R, 18, FALSE)</f>
        <v>5.8</v>
      </c>
      <c r="E8" s="48">
        <f>VLOOKUP(A8, Dataset!A:T, 20, FALSE)</f>
        <v>12.2</v>
      </c>
      <c r="F8" s="8">
        <f>VLOOKUP(A8, Dataset!A:V, 22, FALSE)</f>
        <v>5.8</v>
      </c>
    </row>
    <row r="9" spans="1:7" ht="15" x14ac:dyDescent="0.25">
      <c r="A9" s="7" t="s">
        <v>8</v>
      </c>
      <c r="B9" s="46">
        <f>VLOOKUP(A9, Dataset!A:G, 7, FALSE)</f>
        <v>4.9000000000000004</v>
      </c>
      <c r="C9" s="12">
        <f>VLOOKUP(A9, Dataset!A:N, 14, FALSE)</f>
        <v>13.3</v>
      </c>
      <c r="D9" s="12">
        <f>VLOOKUP(A9, Dataset!A:R, 18, FALSE)</f>
        <v>8.1</v>
      </c>
      <c r="E9" s="48">
        <f>VLOOKUP(A9, Dataset!A:T, 20, FALSE)</f>
        <v>17</v>
      </c>
      <c r="F9" s="8">
        <f>VLOOKUP(A9, Dataset!A:V, 22, FALSE)</f>
        <v>8.1</v>
      </c>
    </row>
    <row r="10" spans="1:7" ht="15" x14ac:dyDescent="0.25">
      <c r="A10" s="7" t="s">
        <v>11</v>
      </c>
      <c r="B10" s="46">
        <f>VLOOKUP(A10, Dataset!A:G, 7, FALSE)</f>
        <v>9.4</v>
      </c>
      <c r="C10" s="12">
        <f>VLOOKUP(A10, Dataset!A:N, 14, FALSE)</f>
        <v>28.3</v>
      </c>
      <c r="D10" s="12">
        <f>VLOOKUP(A10, Dataset!A:R, 18, FALSE)</f>
        <v>16.100000000000001</v>
      </c>
      <c r="E10" s="48">
        <f>VLOOKUP(A10, Dataset!A:T, 20, FALSE)</f>
        <v>32.799999999999997</v>
      </c>
      <c r="F10" s="8">
        <f>VLOOKUP(A10, Dataset!A:V, 22, FALSE)</f>
        <v>16.100000000000001</v>
      </c>
    </row>
    <row r="11" spans="1:7" ht="15" x14ac:dyDescent="0.25">
      <c r="A11" s="7" t="s">
        <v>12</v>
      </c>
      <c r="B11" s="46">
        <f>VLOOKUP(A11, Dataset!A:G, 7, FALSE)</f>
        <v>11.6</v>
      </c>
      <c r="C11" s="12">
        <f>VLOOKUP(A11, Dataset!A:N, 14, FALSE)</f>
        <v>35.200000000000003</v>
      </c>
      <c r="D11" s="12">
        <f>VLOOKUP(A11, Dataset!A:R, 18, FALSE)</f>
        <v>21.3</v>
      </c>
      <c r="E11" s="48">
        <f>VLOOKUP(A11, Dataset!A:T, 20, FALSE)</f>
        <v>43</v>
      </c>
      <c r="F11" s="8">
        <f>VLOOKUP(A11, Dataset!A:V, 22, FALSE)</f>
        <v>21.3</v>
      </c>
    </row>
    <row r="12" spans="1:7" ht="15" x14ac:dyDescent="0.25">
      <c r="A12" s="7" t="s">
        <v>14</v>
      </c>
      <c r="B12" s="46">
        <f>VLOOKUP(A12, Dataset!A:G, 7, FALSE)</f>
        <v>18.399999999999999</v>
      </c>
      <c r="C12" s="12">
        <f>VLOOKUP(A12, Dataset!A:N, 14, FALSE)</f>
        <v>55.6</v>
      </c>
      <c r="D12" s="12">
        <f>VLOOKUP(A12, Dataset!A:R, 18, FALSE)</f>
        <v>33.799999999999997</v>
      </c>
      <c r="E12" s="48">
        <f>VLOOKUP(A12, Dataset!A:T, 20, FALSE)</f>
        <v>67.900000000000006</v>
      </c>
      <c r="F12" s="8">
        <f>VLOOKUP(A12, Dataset!A:V, 22, FALSE)</f>
        <v>33.799999999999997</v>
      </c>
    </row>
    <row r="13" spans="1:7" ht="15" x14ac:dyDescent="0.25">
      <c r="A13" s="7" t="s">
        <v>15</v>
      </c>
      <c r="B13" s="46">
        <f>VLOOKUP(A13, Dataset!A:G, 7, FALSE)</f>
        <v>0</v>
      </c>
      <c r="C13" s="12">
        <f>VLOOKUP(A13, Dataset!A:N, 14, FALSE)</f>
        <v>0</v>
      </c>
      <c r="D13" s="12">
        <f>VLOOKUP(A13, Dataset!A:R, 18, FALSE)</f>
        <v>0</v>
      </c>
      <c r="E13" s="48">
        <f>VLOOKUP(A13, Dataset!A:T, 20, FALSE)</f>
        <v>0</v>
      </c>
      <c r="F13" s="8">
        <f>VLOOKUP(A13, Dataset!A:V, 22, FALSE)</f>
        <v>0</v>
      </c>
    </row>
    <row r="14" spans="1:7" ht="15" x14ac:dyDescent="0.25">
      <c r="A14" s="7" t="s">
        <v>16</v>
      </c>
      <c r="B14" s="46">
        <f>VLOOKUP(A14, Dataset!A:G, 7, FALSE)</f>
        <v>21.9</v>
      </c>
      <c r="C14" s="12">
        <f>VLOOKUP(A14, Dataset!A:N, 14, FALSE)</f>
        <v>61.5</v>
      </c>
      <c r="D14" s="12">
        <f>VLOOKUP(A14, Dataset!A:R, 18, FALSE)</f>
        <v>40.1</v>
      </c>
      <c r="E14" s="48">
        <f>VLOOKUP(A14, Dataset!A:T, 20, FALSE)</f>
        <v>76.599999999999994</v>
      </c>
      <c r="F14" s="8">
        <f>VLOOKUP(A14, Dataset!A:V, 22, FALSE)</f>
        <v>40.1</v>
      </c>
    </row>
    <row r="15" spans="1:7" ht="15" x14ac:dyDescent="0.25">
      <c r="A15" s="7" t="s">
        <v>18</v>
      </c>
      <c r="B15" s="46">
        <f>VLOOKUP(A15, Dataset!A:G, 7, FALSE)</f>
        <v>26.8</v>
      </c>
      <c r="C15" s="12">
        <f>VLOOKUP(A15, Dataset!A:N, 14, FALSE)</f>
        <v>79.599999999999994</v>
      </c>
      <c r="D15" s="12">
        <f>VLOOKUP(A15, Dataset!A:R, 18, FALSE)</f>
        <v>47.9</v>
      </c>
      <c r="E15" s="48">
        <f>VLOOKUP(A15, Dataset!A:T, 20, FALSE)</f>
        <v>96.8</v>
      </c>
      <c r="F15" s="8">
        <f>VLOOKUP(A15, Dataset!A:V, 22, FALSE)</f>
        <v>47.9</v>
      </c>
    </row>
    <row r="16" spans="1:7" ht="15" x14ac:dyDescent="0.25">
      <c r="A16" s="7" t="s">
        <v>20</v>
      </c>
      <c r="B16" s="46">
        <f>VLOOKUP(A16, Dataset!A:G, 7, FALSE)</f>
        <v>28.5</v>
      </c>
      <c r="C16" s="12">
        <f>VLOOKUP(A16, Dataset!A:N, 14, FALSE)</f>
        <v>85.4</v>
      </c>
      <c r="D16" s="12">
        <f>VLOOKUP(A16, Dataset!A:R, 18, FALSE)</f>
        <v>52.3</v>
      </c>
      <c r="E16" s="48">
        <f>VLOOKUP(A16, Dataset!A:T, 20, FALSE)</f>
        <v>106.1</v>
      </c>
      <c r="F16" s="8">
        <f>VLOOKUP(A16, Dataset!A:V, 22, FALSE)</f>
        <v>52.3</v>
      </c>
    </row>
    <row r="17" spans="1:6" ht="15" x14ac:dyDescent="0.25">
      <c r="A17" s="7" t="s">
        <v>22</v>
      </c>
      <c r="B17" s="46">
        <f>VLOOKUP(A17, Dataset!A:G, 7, FALSE)</f>
        <v>30.7</v>
      </c>
      <c r="C17" s="12">
        <f>VLOOKUP(A17, Dataset!A:N, 14, FALSE)</f>
        <v>92.1</v>
      </c>
      <c r="D17" s="12">
        <f>VLOOKUP(A17, Dataset!A:R, 18, FALSE)</f>
        <v>57</v>
      </c>
      <c r="E17" s="48">
        <f>VLOOKUP(A17, Dataset!A:T, 20, FALSE)</f>
        <v>115.1</v>
      </c>
      <c r="F17" s="8">
        <f>VLOOKUP(A17, Dataset!A:V, 22, FALSE)</f>
        <v>57</v>
      </c>
    </row>
    <row r="18" spans="1:6" ht="15" x14ac:dyDescent="0.25">
      <c r="A18" s="7" t="s">
        <v>23</v>
      </c>
      <c r="B18" s="46">
        <f>VLOOKUP(A18, Dataset!A:G, 7, FALSE)</f>
        <v>33.799999999999997</v>
      </c>
      <c r="C18" s="12">
        <f>VLOOKUP(A18, Dataset!A:N, 14, FALSE)</f>
        <v>101.3</v>
      </c>
      <c r="D18" s="12">
        <f>VLOOKUP(A18, Dataset!A:R, 18, FALSE)</f>
        <v>61.4</v>
      </c>
      <c r="E18" s="48">
        <f>VLOOKUP(A18, Dataset!A:T, 20, FALSE)</f>
        <v>124.4</v>
      </c>
      <c r="F18" s="8">
        <f>VLOOKUP(A18, Dataset!A:V, 22, FALSE)</f>
        <v>61.4</v>
      </c>
    </row>
    <row r="19" spans="1:6" ht="15" x14ac:dyDescent="0.25">
      <c r="A19" s="7" t="s">
        <v>24</v>
      </c>
      <c r="B19" s="46">
        <f>VLOOKUP(A19, Dataset!A:G, 7, FALSE)</f>
        <v>34.700000000000003</v>
      </c>
      <c r="C19" s="12">
        <f>VLOOKUP(A19, Dataset!A:N, 14, FALSE)</f>
        <v>106.1</v>
      </c>
      <c r="D19" s="12">
        <f>VLOOKUP(A19, Dataset!A:R, 18, FALSE)</f>
        <v>63.6</v>
      </c>
      <c r="E19" s="48">
        <f>VLOOKUP(A19, Dataset!A:T, 20, FALSE)</f>
        <v>128.6</v>
      </c>
      <c r="F19" s="8">
        <f>VLOOKUP(A19, Dataset!A:V, 22, FALSE)</f>
        <v>63.6</v>
      </c>
    </row>
    <row r="20" spans="1:6" ht="15" x14ac:dyDescent="0.25">
      <c r="A20" s="7" t="s">
        <v>28</v>
      </c>
      <c r="B20" s="46">
        <f>VLOOKUP(A20, Dataset!A:G, 7, FALSE)</f>
        <v>0</v>
      </c>
      <c r="C20" s="12">
        <f>VLOOKUP(A20, Dataset!A:N, 14, FALSE)</f>
        <v>0</v>
      </c>
      <c r="D20" s="12">
        <f>VLOOKUP(A20, Dataset!A:R, 18, FALSE)</f>
        <v>0</v>
      </c>
      <c r="E20" s="48">
        <f>VLOOKUP(A20, Dataset!A:T, 20, FALSE)</f>
        <v>0</v>
      </c>
      <c r="F20" s="8">
        <f>VLOOKUP(A20, Dataset!A:V, 22, FALSE)</f>
        <v>0</v>
      </c>
    </row>
    <row r="21" spans="1:6" ht="15" x14ac:dyDescent="0.25">
      <c r="A21" s="7" t="s">
        <v>57</v>
      </c>
      <c r="B21" s="46">
        <f>VLOOKUP(A21, Dataset!A:G, 7, FALSE)</f>
        <v>41.3</v>
      </c>
      <c r="C21" s="12">
        <f>VLOOKUP(A21, Dataset!A:N, 14, FALSE)</f>
        <v>124.4</v>
      </c>
      <c r="D21" s="12">
        <f>VLOOKUP(A21, Dataset!A:R, 18, FALSE)</f>
        <v>75</v>
      </c>
      <c r="E21" s="48">
        <f>VLOOKUP(A21, Dataset!A:T, 20, FALSE)</f>
        <v>151.5</v>
      </c>
      <c r="F21" s="8">
        <f>VLOOKUP(A21, Dataset!A:V, 22, FALSE)</f>
        <v>75</v>
      </c>
    </row>
    <row r="22" spans="1:6" ht="15" x14ac:dyDescent="0.25">
      <c r="A22" s="7" t="s">
        <v>58</v>
      </c>
      <c r="B22" s="46">
        <f>VLOOKUP(A22, Dataset!A:G, 7, FALSE)</f>
        <v>-1</v>
      </c>
      <c r="C22" s="12">
        <f>VLOOKUP(A22, Dataset!A:N, 14, FALSE)</f>
        <v>-1</v>
      </c>
      <c r="D22" s="12">
        <f>VLOOKUP(A22, Dataset!A:R, 18, FALSE)</f>
        <v>-1</v>
      </c>
      <c r="E22" s="48">
        <f>VLOOKUP(A22, Dataset!A:T, 20, FALSE)</f>
        <v>-1</v>
      </c>
      <c r="F22" s="8">
        <f>VLOOKUP(A22, Dataset!A:V, 22, FALSE)</f>
        <v>-1</v>
      </c>
    </row>
    <row r="23" spans="1:6" ht="15" x14ac:dyDescent="0.25">
      <c r="A23" s="7" t="s">
        <v>31</v>
      </c>
      <c r="B23" s="46">
        <f>VLOOKUP(A23, Dataset!A:G, 7, FALSE)</f>
        <v>45</v>
      </c>
      <c r="C23" s="12">
        <f>VLOOKUP(A23, Dataset!A:N, 14, FALSE)</f>
        <v>133.4</v>
      </c>
      <c r="D23" s="12">
        <f>VLOOKUP(A23, Dataset!A:R, 18, FALSE)</f>
        <v>79.400000000000006</v>
      </c>
      <c r="E23" s="48">
        <f>VLOOKUP(A23, Dataset!A:T, 20, FALSE)</f>
        <v>160.9</v>
      </c>
      <c r="F23" s="8">
        <f>VLOOKUP(A23, Dataset!A:V, 22, FALSE)</f>
        <v>79.400000000000006</v>
      </c>
    </row>
    <row r="24" spans="1:6" ht="15" x14ac:dyDescent="0.25">
      <c r="A24" s="7" t="s">
        <v>32</v>
      </c>
      <c r="B24" s="46">
        <f>VLOOKUP(A24, Dataset!A:G, 7, FALSE)</f>
        <v>-1</v>
      </c>
      <c r="C24" s="12">
        <f>VLOOKUP(A24, Dataset!A:N, 14, FALSE)</f>
        <v>-1</v>
      </c>
      <c r="D24" s="12">
        <f>VLOOKUP(A24, Dataset!A:R, 18, FALSE)</f>
        <v>-1</v>
      </c>
      <c r="E24" s="48">
        <f>VLOOKUP(A24, Dataset!A:T, 20, FALSE)</f>
        <v>-1</v>
      </c>
      <c r="F24" s="8">
        <f>VLOOKUP(A24, Dataset!A:V, 22, FALSE)</f>
        <v>-1</v>
      </c>
    </row>
    <row r="25" spans="1:6" ht="15" x14ac:dyDescent="0.25">
      <c r="A25" s="7" t="s">
        <v>34</v>
      </c>
      <c r="B25" s="46">
        <f>VLOOKUP(A25, Dataset!A:G, 7, FALSE)</f>
        <v>43.3</v>
      </c>
      <c r="C25" s="12">
        <f>VLOOKUP(A25, Dataset!A:N, 14, FALSE)</f>
        <v>128.6</v>
      </c>
      <c r="D25" s="12">
        <f>VLOOKUP(A25, Dataset!A:R, 18, FALSE)</f>
        <v>79.400000000000006</v>
      </c>
      <c r="E25" s="48">
        <f>VLOOKUP(A25, Dataset!A:T, 20, FALSE)</f>
        <v>160.9</v>
      </c>
      <c r="F25" s="8">
        <f>VLOOKUP(A25, Dataset!A:V, 22, FALSE)</f>
        <v>79.400000000000006</v>
      </c>
    </row>
    <row r="26" spans="1:6" ht="15" x14ac:dyDescent="0.25">
      <c r="A26" s="7" t="s">
        <v>37</v>
      </c>
      <c r="B26" s="46">
        <f>VLOOKUP(A26, Dataset!A:G, 7, FALSE)</f>
        <v>49.1</v>
      </c>
      <c r="C26" s="12">
        <f>VLOOKUP(A26, Dataset!A:N, 14, FALSE)</f>
        <v>146.80000000000001</v>
      </c>
      <c r="D26" s="12">
        <f>VLOOKUP(A26, Dataset!A:R, 18, FALSE)</f>
        <v>90.9</v>
      </c>
      <c r="E26" s="48">
        <f>VLOOKUP(A26, Dataset!A:T, 20, FALSE)</f>
        <v>183.5</v>
      </c>
      <c r="F26" s="8">
        <f>VLOOKUP(A26, Dataset!A:V, 22, FALSE)</f>
        <v>90.9</v>
      </c>
    </row>
    <row r="27" spans="1:6" ht="15" x14ac:dyDescent="0.25">
      <c r="A27" s="7" t="s">
        <v>39</v>
      </c>
      <c r="B27" s="46">
        <f>VLOOKUP(A27, Dataset!A:G, 7, FALSE)</f>
        <v>51.8</v>
      </c>
      <c r="C27" s="12">
        <f>VLOOKUP(A27, Dataset!A:N, 14, FALSE)</f>
        <v>156.4</v>
      </c>
      <c r="D27" s="12">
        <f>VLOOKUP(A27, Dataset!A:R, 18, FALSE)</f>
        <v>93.1</v>
      </c>
      <c r="E27" s="48">
        <f>VLOOKUP(A27, Dataset!A:T, 20, FALSE)</f>
        <v>188.1</v>
      </c>
      <c r="F27" s="8">
        <f>VLOOKUP(A27, Dataset!A:V, 22, 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37" zoomScaleNormal="100" workbookViewId="0">
      <selection activeCell="E6" sqref="E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172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149</v>
      </c>
    </row>
    <row r="5" spans="1:10" ht="18.75" x14ac:dyDescent="0.3">
      <c r="A5" s="42" t="s">
        <v>53</v>
      </c>
      <c r="B5" s="39" t="s">
        <v>177</v>
      </c>
      <c r="C5" s="39"/>
      <c r="D5" s="39"/>
    </row>
    <row r="6" spans="1:10" ht="18.75" x14ac:dyDescent="0.3">
      <c r="A6" s="42" t="s">
        <v>151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7" t="s">
        <v>163</v>
      </c>
      <c r="I9" s="2"/>
      <c r="J9" s="2"/>
    </row>
    <row r="10" spans="1:10" x14ac:dyDescent="0.25">
      <c r="A10" s="32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7" t="s">
        <v>160</v>
      </c>
    </row>
    <row r="15" spans="1:10" x14ac:dyDescent="0.25">
      <c r="A15" s="14" t="s">
        <v>102</v>
      </c>
      <c r="B15" s="16" t="s">
        <v>49</v>
      </c>
      <c r="C15" s="16" t="s">
        <v>50</v>
      </c>
      <c r="D15" s="16" t="s">
        <v>51</v>
      </c>
      <c r="E15" s="16" t="s">
        <v>52</v>
      </c>
      <c r="F15" s="16" t="s">
        <v>54</v>
      </c>
    </row>
    <row r="16" spans="1:10" x14ac:dyDescent="0.25">
      <c r="A16" s="7" t="s">
        <v>119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120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121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122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123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124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125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126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127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128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129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130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131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132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133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134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135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136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137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138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139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140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141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142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143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144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145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146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147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148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110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111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112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113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114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115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116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117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118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D17" sqref="D17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5.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85</v>
      </c>
      <c r="B1" s="40" t="s">
        <v>165</v>
      </c>
    </row>
    <row r="2" spans="1:4" ht="18.75" x14ac:dyDescent="0.3">
      <c r="B2" s="39" t="s">
        <v>164</v>
      </c>
    </row>
    <row r="5" spans="1:4" ht="15" x14ac:dyDescent="0.25">
      <c r="B5" s="1" t="s">
        <v>149</v>
      </c>
    </row>
    <row r="6" spans="1:4" ht="15" x14ac:dyDescent="0.25">
      <c r="A6" s="3" t="s">
        <v>53</v>
      </c>
      <c r="B6" s="1" t="s">
        <v>181</v>
      </c>
    </row>
    <row r="7" spans="1:4" ht="15" x14ac:dyDescent="0.25">
      <c r="A7" s="3" t="s">
        <v>151</v>
      </c>
      <c r="B7" s="1" t="s">
        <v>180</v>
      </c>
    </row>
    <row r="10" spans="1:4" ht="23.25" x14ac:dyDescent="0.35">
      <c r="A10" s="17" t="s">
        <v>160</v>
      </c>
    </row>
    <row r="11" spans="1:4" ht="15" x14ac:dyDescent="0.25">
      <c r="A11" s="31" t="s">
        <v>179</v>
      </c>
      <c r="B11" s="16" t="s">
        <v>86</v>
      </c>
      <c r="C11" s="47" t="s">
        <v>87</v>
      </c>
      <c r="D11" s="51"/>
    </row>
    <row r="12" spans="1:4" ht="15" x14ac:dyDescent="0.25">
      <c r="A12" s="31">
        <v>44927</v>
      </c>
      <c r="B12" s="16" t="s">
        <v>59</v>
      </c>
      <c r="C12" s="52">
        <v>200</v>
      </c>
    </row>
    <row r="13" spans="1:4" ht="15" x14ac:dyDescent="0.25">
      <c r="A13" s="31">
        <v>44928</v>
      </c>
      <c r="B13" s="16" t="s">
        <v>60</v>
      </c>
      <c r="C13" s="47">
        <v>20</v>
      </c>
    </row>
    <row r="14" spans="1:4" ht="15" x14ac:dyDescent="0.25">
      <c r="A14" s="31">
        <v>44929</v>
      </c>
      <c r="B14" s="16" t="s">
        <v>61</v>
      </c>
      <c r="C14" s="47">
        <v>50</v>
      </c>
    </row>
    <row r="15" spans="1:4" ht="15" x14ac:dyDescent="0.25">
      <c r="A15" s="31">
        <v>44930</v>
      </c>
      <c r="B15" s="16" t="s">
        <v>62</v>
      </c>
      <c r="C15" s="47">
        <v>20</v>
      </c>
    </row>
    <row r="16" spans="1:4" ht="15" x14ac:dyDescent="0.25">
      <c r="A16" s="31">
        <v>44931</v>
      </c>
      <c r="B16" s="16" t="s">
        <v>63</v>
      </c>
      <c r="C16" s="47">
        <v>10</v>
      </c>
    </row>
    <row r="17" spans="1:3" ht="15" x14ac:dyDescent="0.25">
      <c r="A17" s="31">
        <v>44932</v>
      </c>
      <c r="B17" s="16" t="s">
        <v>152</v>
      </c>
      <c r="C17" s="47">
        <v>150</v>
      </c>
    </row>
    <row r="18" spans="1:3" ht="15" x14ac:dyDescent="0.25">
      <c r="A18" s="31">
        <v>44933</v>
      </c>
      <c r="B18" s="16" t="s">
        <v>153</v>
      </c>
      <c r="C18" s="47">
        <v>80</v>
      </c>
    </row>
    <row r="19" spans="1:3" ht="15" x14ac:dyDescent="0.25">
      <c r="A19" s="31">
        <v>44934</v>
      </c>
      <c r="B19" s="16" t="s">
        <v>154</v>
      </c>
      <c r="C19" s="47">
        <v>20</v>
      </c>
    </row>
    <row r="20" spans="1:3" ht="15" x14ac:dyDescent="0.25">
      <c r="A20" s="31">
        <v>44935</v>
      </c>
      <c r="B20" s="16" t="s">
        <v>155</v>
      </c>
      <c r="C20" s="47">
        <v>30</v>
      </c>
    </row>
    <row r="21" spans="1:3" ht="15" x14ac:dyDescent="0.25">
      <c r="A21" s="31">
        <v>44936</v>
      </c>
      <c r="B21" s="16" t="s">
        <v>156</v>
      </c>
      <c r="C21" s="47">
        <v>20</v>
      </c>
    </row>
    <row r="22" spans="1:3" ht="15" x14ac:dyDescent="0.25">
      <c r="B22" s="16" t="s">
        <v>157</v>
      </c>
      <c r="C22" s="49">
        <f>SUM(C12:C21)</f>
        <v>600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E32" sqref="E32"/>
    </sheetView>
  </sheetViews>
  <sheetFormatPr defaultColWidth="11" defaultRowHeight="12.75" x14ac:dyDescent="0.2"/>
  <cols>
    <col min="1" max="1" width="28.1640625" style="2" bestFit="1" customWidth="1"/>
    <col min="2" max="2" width="14" style="2" customWidth="1"/>
    <col min="3" max="3" width="18.33203125" style="2" customWidth="1"/>
    <col min="4" max="16384" width="11" style="2"/>
  </cols>
  <sheetData>
    <row r="1" spans="1:14" ht="21" x14ac:dyDescent="0.35">
      <c r="A1" s="41" t="s">
        <v>97</v>
      </c>
      <c r="B1" s="40" t="s">
        <v>173</v>
      </c>
    </row>
    <row r="3" spans="1:14" ht="15" x14ac:dyDescent="0.25">
      <c r="B3" s="1" t="s">
        <v>149</v>
      </c>
    </row>
    <row r="4" spans="1:14" ht="141.75" x14ac:dyDescent="0.3">
      <c r="A4" s="42" t="s">
        <v>53</v>
      </c>
      <c r="B4" s="1"/>
      <c r="C4" s="50" t="s">
        <v>182</v>
      </c>
    </row>
    <row r="5" spans="1:14" ht="18.75" x14ac:dyDescent="0.3">
      <c r="A5" s="42" t="s">
        <v>151</v>
      </c>
      <c r="B5" s="1" t="s">
        <v>183</v>
      </c>
    </row>
    <row r="6" spans="1:14" ht="15" x14ac:dyDescent="0.25">
      <c r="A6" s="3"/>
      <c r="B6" s="1"/>
    </row>
    <row r="8" spans="1:14" ht="23.25" x14ac:dyDescent="0.35">
      <c r="A8" s="17" t="s">
        <v>160</v>
      </c>
      <c r="M8" s="17" t="s">
        <v>161</v>
      </c>
    </row>
    <row r="9" spans="1:14" ht="15" x14ac:dyDescent="0.2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5" x14ac:dyDescent="0.2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2">
        <v>10100</v>
      </c>
      <c r="N10" s="12" t="s">
        <v>88</v>
      </c>
    </row>
    <row r="11" spans="1:14" ht="15" x14ac:dyDescent="0.2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2">
        <v>10102</v>
      </c>
      <c r="N11" s="12" t="s">
        <v>89</v>
      </c>
    </row>
    <row r="12" spans="1:14" ht="15" x14ac:dyDescent="0.2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2">
        <v>10104</v>
      </c>
      <c r="N12" s="12" t="s">
        <v>90</v>
      </c>
    </row>
    <row r="13" spans="1:14" ht="15" x14ac:dyDescent="0.2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2">
        <v>10106</v>
      </c>
      <c r="N13" s="12" t="s">
        <v>91</v>
      </c>
    </row>
    <row r="14" spans="1:14" ht="15" x14ac:dyDescent="0.2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2">
        <v>10108</v>
      </c>
      <c r="N14" s="12" t="s">
        <v>92</v>
      </c>
    </row>
    <row r="15" spans="1:14" ht="15" x14ac:dyDescent="0.2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2">
        <v>10110</v>
      </c>
      <c r="N15" s="12" t="s">
        <v>93</v>
      </c>
    </row>
    <row r="16" spans="1:14" ht="15" x14ac:dyDescent="0.2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2">
        <v>10112</v>
      </c>
      <c r="N16" s="12" t="s">
        <v>94</v>
      </c>
    </row>
    <row r="17" spans="1:14" ht="15" x14ac:dyDescent="0.2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2">
        <v>10114</v>
      </c>
      <c r="N17" s="12" t="s">
        <v>95</v>
      </c>
    </row>
    <row r="18" spans="1:14" ht="15" x14ac:dyDescent="0.2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3">
        <v>10116</v>
      </c>
      <c r="N18" s="13" t="s">
        <v>96</v>
      </c>
    </row>
    <row r="21" spans="1:14" ht="23.25" x14ac:dyDescent="0.35">
      <c r="A21" s="17" t="s">
        <v>166</v>
      </c>
    </row>
    <row r="22" spans="1:14" ht="15" x14ac:dyDescent="0.25">
      <c r="A22" s="14" t="s">
        <v>99</v>
      </c>
      <c r="B22" s="16" t="s">
        <v>100</v>
      </c>
      <c r="C22" s="15" t="s">
        <v>101</v>
      </c>
    </row>
    <row r="23" spans="1:14" ht="15" x14ac:dyDescent="0.25">
      <c r="A23" s="7">
        <v>10100</v>
      </c>
      <c r="B23" s="12">
        <v>10102</v>
      </c>
      <c r="C23" s="53">
        <f>INDEX(A10:J19,MATCH(A23,M10:M18,0),MATCH(B23,M10:M18,0))</f>
        <v>-1</v>
      </c>
    </row>
    <row r="24" spans="1:14" ht="15" x14ac:dyDescent="0.25">
      <c r="A24" s="7">
        <v>10100</v>
      </c>
      <c r="B24" s="12">
        <v>10104</v>
      </c>
      <c r="C24" s="53">
        <f>INDEX(A10:J19,MATCH(A24,M10:M18,0),MATCH(B24,M10:M18,0))</f>
        <v>95</v>
      </c>
    </row>
    <row r="25" spans="1:14" ht="15" x14ac:dyDescent="0.25">
      <c r="A25" s="7">
        <v>10108</v>
      </c>
      <c r="B25" s="12">
        <v>10102</v>
      </c>
      <c r="C25" s="53">
        <f>INDEX(A10:J19,MATCH(A25,M10:M18,0),MATCH(B25,M10:M18,0))</f>
        <v>255</v>
      </c>
      <c r="H25" s="43"/>
    </row>
    <row r="26" spans="1:14" ht="15" x14ac:dyDescent="0.25">
      <c r="A26" s="7">
        <v>10100</v>
      </c>
      <c r="B26" s="12">
        <v>10106</v>
      </c>
      <c r="C26" s="53">
        <f>INDEX(A10:J19,MATCH(A26,M10:M18,0),MATCH(B26,M10:M18,0))</f>
        <v>-1</v>
      </c>
    </row>
    <row r="27" spans="1:14" ht="15" x14ac:dyDescent="0.25">
      <c r="A27" s="7">
        <v>10108</v>
      </c>
      <c r="B27" s="12">
        <v>10110</v>
      </c>
      <c r="C27" s="53">
        <f>INDEX(A10:J19,MATCH(A27,M10:M18,0),MATCH(B27,M10:M18,0))</f>
        <v>-1</v>
      </c>
    </row>
    <row r="28" spans="1:14" ht="15" x14ac:dyDescent="0.25">
      <c r="A28" s="7">
        <v>10102</v>
      </c>
      <c r="B28" s="12">
        <v>10104</v>
      </c>
      <c r="C28" s="43">
        <f>INDEX(A10:J19,MATCH(A28,M10:M18,0),MATCH(B28,M10:M18,0))</f>
        <v>-1</v>
      </c>
    </row>
    <row r="29" spans="1:14" ht="15" x14ac:dyDescent="0.25">
      <c r="A29" s="7">
        <v>10106</v>
      </c>
      <c r="B29" s="12">
        <v>10108</v>
      </c>
      <c r="C29" s="43">
        <f>INDEX(A10:J19,MATCH(A29,M10:M18,0),MATCH(B29,M10:M18,0))</f>
        <v>-1</v>
      </c>
    </row>
    <row r="30" spans="1:14" ht="15" x14ac:dyDescent="0.25">
      <c r="A30" s="7">
        <v>10102</v>
      </c>
      <c r="B30" s="12">
        <v>10106</v>
      </c>
      <c r="C30" s="43">
        <f>INDEX(A10:J19,MATCH(A30,M10:M18,0),MATCH(B30,M10:M18,0))</f>
        <v>-1</v>
      </c>
    </row>
    <row r="31" spans="1:14" ht="15" x14ac:dyDescent="0.25">
      <c r="A31" s="7">
        <v>10110</v>
      </c>
      <c r="B31" s="12">
        <v>10114</v>
      </c>
      <c r="C31" s="2">
        <f>INDEX(A10:J19,MATCH(A31,M10:M18,0),MATCH(B31,M10:M18,0))</f>
        <v>115</v>
      </c>
    </row>
    <row r="32" spans="1:14" ht="15" x14ac:dyDescent="0.25">
      <c r="A32" s="7">
        <v>10104</v>
      </c>
      <c r="B32" s="12">
        <v>10106</v>
      </c>
      <c r="C32" s="43">
        <f>INDEX(A10:J19,MATCH(A32,M10:M18,0),MATCH(B32,M10:M18,0))</f>
        <v>-1</v>
      </c>
    </row>
    <row r="33" spans="1:3" ht="15" x14ac:dyDescent="0.25">
      <c r="A33" s="7">
        <v>10110</v>
      </c>
      <c r="B33" s="12">
        <v>10112</v>
      </c>
      <c r="C33" s="43">
        <f>INDEX(A10:J19,MATCH(A33,M10:M18,0),MATCH(B33,M10:M18,0))</f>
        <v>-1</v>
      </c>
    </row>
    <row r="34" spans="1:3" ht="15" x14ac:dyDescent="0.25">
      <c r="A34" s="7">
        <v>10100</v>
      </c>
      <c r="B34" s="12">
        <v>10114</v>
      </c>
      <c r="C34" s="43">
        <f>INDEX(A10:J19,MATCH(A34,M10:M18,0),MATCH(B34,M10:M18,0))</f>
        <v>415</v>
      </c>
    </row>
    <row r="35" spans="1:3" ht="15" x14ac:dyDescent="0.25">
      <c r="A35" s="9">
        <v>10112</v>
      </c>
      <c r="B35" s="13">
        <v>10116</v>
      </c>
      <c r="C35" s="43">
        <f>INDEX(A10:J19,MATCH(A35,M10:M18,0),MATCH(B35,M10:M18,0))</f>
        <v>65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2024-10-24T11:17:30Z</dcterms:modified>
</cp:coreProperties>
</file>